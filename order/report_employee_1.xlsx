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عبد الحاكم علي" sheetId="1" state="visible" r:id="rId1"/>
  </sheets>
  <definedNames>
    <definedName name="_xlnm.Print_Area" localSheetId="0">'عبد الحاكم علي'!$A$1:$U$33</definedName>
  </definedNames>
  <calcPr calcId="181029" fullCalcOnLoad="1"/>
</workbook>
</file>

<file path=xl/styles.xml><?xml version="1.0" encoding="utf-8"?>
<styleSheet xmlns="http://schemas.openxmlformats.org/spreadsheetml/2006/main">
  <numFmts count="6">
    <numFmt numFmtId="164" formatCode="dd\ \/\ mm\ \/\ yyyy"/>
    <numFmt numFmtId="165" formatCode="000"/>
    <numFmt numFmtId="166" formatCode="[$-10C0000]\ mmmm\ yyyy;@"/>
    <numFmt numFmtId="167" formatCode="&quot;2024 / &quot;\ 000"/>
    <numFmt numFmtId="168" formatCode="_-* #,##0.00\ _€_-;\-* #,##0.00\ _€_-;_-* &quot;-&quot;??\ _€_-;_-@_-"/>
    <numFmt numFmtId="169" formatCode="00"/>
  </numFmts>
  <fonts count="2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8"/>
      <scheme val="minor"/>
    </font>
    <font>
      <name val="Arial"/>
      <family val="2"/>
      <b val="1"/>
      <i val="1"/>
      <color theme="1"/>
      <sz val="11"/>
    </font>
    <font>
      <name val="Arial"/>
      <family val="2"/>
      <b val="1"/>
      <i val="1"/>
      <color theme="1"/>
      <sz val="9"/>
    </font>
    <font>
      <name val="Arial"/>
      <family val="2"/>
      <b val="1"/>
      <color theme="1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4"/>
      <scheme val="minor"/>
    </font>
    <font>
      <name val="Arial"/>
      <family val="2"/>
      <b val="1"/>
      <i val="1"/>
      <color theme="1"/>
      <sz val="12"/>
    </font>
    <font>
      <name val="Arial"/>
      <family val="2"/>
      <b val="1"/>
      <i val="1"/>
      <color theme="1"/>
      <sz val="14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2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Dot">
        <color indexed="64"/>
      </bottom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9" fillId="0" borderId="13" applyAlignment="1" pivotButton="0" quotePrefix="0" xfId="0">
      <alignment horizontal="center" vertical="center" readingOrder="2"/>
    </xf>
    <xf numFmtId="20" fontId="9" fillId="0" borderId="13" applyAlignment="1" pivotButton="0" quotePrefix="0" xfId="0">
      <alignment horizontal="center" vertical="center"/>
    </xf>
    <xf numFmtId="165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 wrapText="1"/>
    </xf>
    <xf numFmtId="164" fontId="9" fillId="0" borderId="14" applyAlignment="1" pivotButton="0" quotePrefix="0" xfId="0">
      <alignment horizontal="center" vertical="center" readingOrder="2"/>
    </xf>
    <xf numFmtId="20" fontId="9" fillId="0" borderId="14" applyAlignment="1" pivotButton="0" quotePrefix="0" xfId="0">
      <alignment horizontal="center" vertical="center"/>
    </xf>
    <xf numFmtId="0" fontId="11" fillId="0" borderId="0" pivotButton="0" quotePrefix="0" xfId="0"/>
    <xf numFmtId="166" fontId="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9" fillId="0" borderId="18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 wrapText="1"/>
    </xf>
    <xf numFmtId="164" fontId="9" fillId="0" borderId="18" applyAlignment="1" pivotButton="0" quotePrefix="0" xfId="0">
      <alignment horizontal="center" vertical="center" readingOrder="2"/>
    </xf>
    <xf numFmtId="20" fontId="9" fillId="0" borderId="18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167" fontId="9" fillId="0" borderId="20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 wrapText="1"/>
    </xf>
    <xf numFmtId="164" fontId="9" fillId="0" borderId="21" applyAlignment="1" pivotButton="0" quotePrefix="0" xfId="0">
      <alignment horizontal="center" vertical="center" readingOrder="2"/>
    </xf>
    <xf numFmtId="20" fontId="9" fillId="0" borderId="2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12" fillId="0" borderId="0" pivotButton="0" quotePrefix="0" xfId="0"/>
    <xf numFmtId="165" fontId="9" fillId="0" borderId="8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3" fillId="2" borderId="9" applyAlignment="1" pivotButton="0" quotePrefix="0" xfId="0">
      <alignment horizontal="center"/>
    </xf>
    <xf numFmtId="0" fontId="13" fillId="0" borderId="0" pivotButton="0" quotePrefix="0" xfId="0"/>
    <xf numFmtId="0" fontId="6" fillId="0" borderId="0" applyAlignment="1" pivotButton="0" quotePrefix="0" xfId="0">
      <alignment vertical="center"/>
    </xf>
    <xf numFmtId="0" fontId="9" fillId="0" borderId="22" applyAlignment="1" pivotButton="0" quotePrefix="0" xfId="0">
      <alignment horizontal="center" vertical="center"/>
    </xf>
    <xf numFmtId="0" fontId="14" fillId="0" borderId="0" pivotButton="0" quotePrefix="0" xfId="0"/>
    <xf numFmtId="168" fontId="0" fillId="0" borderId="0" pivotButton="0" quotePrefix="0" xfId="0"/>
    <xf numFmtId="0" fontId="9" fillId="0" borderId="14" applyAlignment="1" pivotButton="0" quotePrefix="0" xfId="0">
      <alignment horizontal="center" vertical="center"/>
    </xf>
    <xf numFmtId="0" fontId="0" fillId="0" borderId="23" pivotButton="0" quotePrefix="0" xfId="0"/>
    <xf numFmtId="16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4" fontId="6" fillId="0" borderId="0" applyAlignment="1" pivotButton="0" quotePrefix="0" xfId="0">
      <alignment horizontal="right" vertical="center"/>
    </xf>
    <xf numFmtId="168" fontId="6" fillId="0" borderId="0" pivotButton="0" quotePrefix="0" xfId="0"/>
    <xf numFmtId="165" fontId="9" fillId="0" borderId="19" applyAlignment="1" pivotButton="0" quotePrefix="0" xfId="0">
      <alignment horizontal="center" vertical="center" readingOrder="2"/>
    </xf>
    <xf numFmtId="0" fontId="9" fillId="0" borderId="22" applyAlignment="1" pivotButton="0" quotePrefix="0" xfId="0">
      <alignment horizontal="center" vertical="center" readingOrder="2"/>
    </xf>
    <xf numFmtId="0" fontId="5" fillId="0" borderId="0" applyAlignment="1" pivotButton="0" quotePrefix="0" xfId="0">
      <alignment horizontal="center" vertical="center" readingOrder="1"/>
    </xf>
    <xf numFmtId="0" fontId="6" fillId="0" borderId="0" pivotButton="0" quotePrefix="0" xfId="0"/>
    <xf numFmtId="165" fontId="9" fillId="0" borderId="8" applyAlignment="1" pivotButton="0" quotePrefix="0" xfId="0">
      <alignment horizontal="center" vertical="center" readingOrder="2"/>
    </xf>
    <xf numFmtId="0" fontId="9" fillId="0" borderId="9" applyAlignment="1" pivotButton="0" quotePrefix="0" xfId="0">
      <alignment horizontal="center" vertical="center" readingOrder="2"/>
    </xf>
    <xf numFmtId="0" fontId="15" fillId="0" borderId="0" pivotButton="0" quotePrefix="0" xfId="0"/>
    <xf numFmtId="168" fontId="6" fillId="0" borderId="6" pivotButton="0" quotePrefix="0" xfId="0"/>
    <xf numFmtId="0" fontId="5" fillId="0" borderId="0" pivotButton="0" quotePrefix="0" xfId="0"/>
    <xf numFmtId="0" fontId="9" fillId="0" borderId="24" applyAlignment="1" pivotButton="0" quotePrefix="0" xfId="0">
      <alignment horizontal="center" vertical="center"/>
    </xf>
    <xf numFmtId="164" fontId="9" fillId="0" borderId="24" applyAlignment="1" pivotButton="0" quotePrefix="0" xfId="0">
      <alignment horizontal="center" vertical="center" readingOrder="2"/>
    </xf>
    <xf numFmtId="169" fontId="3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right" vertical="center"/>
    </xf>
    <xf numFmtId="164" fontId="9" fillId="0" borderId="10" applyAlignment="1" pivotButton="0" quotePrefix="0" xfId="0">
      <alignment horizontal="center" vertical="center"/>
    </xf>
    <xf numFmtId="164" fontId="9" fillId="0" borderId="11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readingOrder="2"/>
    </xf>
    <xf numFmtId="0" fontId="4" fillId="0" borderId="0" applyAlignment="1" pivotButton="0" quotePrefix="0" xfId="0">
      <alignment horizontal="center"/>
    </xf>
    <xf numFmtId="0" fontId="6" fillId="0" borderId="1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164" fontId="9" fillId="0" borderId="15" applyAlignment="1" pivotButton="0" quotePrefix="0" xfId="0">
      <alignment horizontal="center" vertical="center" readingOrder="2"/>
    </xf>
    <xf numFmtId="164" fontId="9" fillId="0" borderId="16" applyAlignment="1" pivotButton="0" quotePrefix="0" xfId="0">
      <alignment horizontal="center" vertical="center" readingOrder="2"/>
    </xf>
    <xf numFmtId="164" fontId="9" fillId="0" borderId="17" applyAlignment="1" pivotButton="0" quotePrefix="0" xfId="0">
      <alignment horizontal="center" vertical="center" readingOrder="2"/>
    </xf>
    <xf numFmtId="0" fontId="9" fillId="0" borderId="18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169" fontId="9" fillId="0" borderId="18" applyAlignment="1" pivotButton="0" quotePrefix="0" xfId="0">
      <alignment horizontal="center" vertical="center"/>
    </xf>
    <xf numFmtId="169" fontId="9" fillId="0" borderId="24" applyAlignment="1" pivotButton="0" quotePrefix="0" xfId="0">
      <alignment horizontal="center" vertical="center"/>
    </xf>
    <xf numFmtId="169" fontId="9" fillId="0" borderId="21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9" fillId="0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wrapText="1"/>
    </xf>
    <xf numFmtId="169" fontId="9" fillId="0" borderId="13" applyAlignment="1" pivotButton="0" quotePrefix="0" xfId="0">
      <alignment horizontal="center" vertical="center"/>
    </xf>
    <xf numFmtId="169" fontId="9" fillId="0" borderId="1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9" fontId="9" fillId="0" borderId="13" applyAlignment="1" pivotButton="0" quotePrefix="0" xfId="0">
      <alignment horizontal="center" vertical="center"/>
    </xf>
    <xf numFmtId="165" fontId="9" fillId="0" borderId="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166" fontId="6" fillId="0" borderId="0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169" fontId="9" fillId="0" borderId="25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167" fontId="9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9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 wrapText="1"/>
    </xf>
    <xf numFmtId="165" fontId="9" fillId="0" borderId="8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wrapText="1"/>
    </xf>
    <xf numFmtId="168" fontId="0" fillId="0" borderId="0" pivotButton="0" quotePrefix="0" xfId="0"/>
    <xf numFmtId="169" fontId="6" fillId="0" borderId="0" applyAlignment="1" pivotButton="0" quotePrefix="0" xfId="0">
      <alignment horizontal="center" vertical="center"/>
    </xf>
    <xf numFmtId="168" fontId="6" fillId="0" borderId="0" pivotButton="0" quotePrefix="0" xfId="0"/>
    <xf numFmtId="165" fontId="9" fillId="0" borderId="19" applyAlignment="1" pivotButton="0" quotePrefix="0" xfId="0">
      <alignment horizontal="center" vertical="center" readingOrder="2"/>
    </xf>
    <xf numFmtId="165" fontId="9" fillId="0" borderId="8" applyAlignment="1" pivotButton="0" quotePrefix="0" xfId="0">
      <alignment horizontal="center" vertical="center" readingOrder="2"/>
    </xf>
    <xf numFmtId="168" fontId="6" fillId="0" borderId="6" pivotButton="0" quotePrefix="0" xfId="0"/>
    <xf numFmtId="169" fontId="9" fillId="0" borderId="26" applyAlignment="1" pivotButton="0" quotePrefix="0" xfId="0">
      <alignment horizontal="center" vertical="center"/>
    </xf>
    <xf numFmtId="164" fontId="9" fillId="0" borderId="2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9" fontId="3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W36"/>
  <sheetViews>
    <sheetView showGridLines="0" rightToLeft="1" tabSelected="1" view="pageBreakPreview" zoomScale="80" zoomScaleNormal="80" zoomScaleSheetLayoutView="80" workbookViewId="0">
      <selection activeCell="B3" sqref="B3:G3"/>
    </sheetView>
  </sheetViews>
  <sheetFormatPr baseColWidth="10" defaultColWidth="11.140625" defaultRowHeight="15"/>
  <cols>
    <col width="1.140625" customWidth="1" min="1" max="1"/>
    <col width="15" customWidth="1" min="2" max="2"/>
    <col width="8.85546875" customWidth="1" min="3" max="3"/>
    <col width="16.7109375" customWidth="1" min="4" max="4"/>
    <col width="13" customWidth="1" min="5" max="5"/>
    <col width="15.28515625" bestFit="1" customWidth="1" min="6" max="6"/>
    <col width="37.140625" customWidth="1" min="7" max="7"/>
    <col width="1.7109375" customWidth="1" min="8" max="8"/>
    <col width="15.42578125" customWidth="1" min="9" max="9"/>
    <col width="22" customWidth="1" min="10" max="10"/>
    <col width="15.140625" customWidth="1" min="11" max="11"/>
    <col width="8.28515625" customWidth="1" min="12" max="12"/>
    <col width="11" customWidth="1" min="13" max="13"/>
    <col width="5.7109375" customWidth="1" min="14" max="14"/>
    <col width="5.28515625" customWidth="1" min="15" max="15"/>
    <col width="5.7109375" customWidth="1" min="16" max="16"/>
    <col width="4.7109375" customWidth="1" min="17" max="17"/>
    <col width="5.85546875" customWidth="1" min="18" max="18"/>
    <col width="1" customWidth="1" min="19" max="19"/>
    <col width="9.42578125" customWidth="1" min="20" max="20"/>
    <col width="1.7109375" customWidth="1" min="21" max="22"/>
    <col width="5.140625" customWidth="1" min="23" max="23"/>
  </cols>
  <sheetData>
    <row r="3" ht="22.5" customHeight="1">
      <c r="B3" s="116" t="inlineStr">
        <is>
          <t xml:space="preserve">الجمهورية الجزائرية الديمقراطية الشعبية </t>
        </is>
      </c>
    </row>
    <row r="4" ht="9" customHeight="1">
      <c r="B4" s="1" t="n"/>
      <c r="C4" s="1" t="n"/>
      <c r="D4" s="1" t="n"/>
      <c r="E4" s="1" t="n"/>
      <c r="F4" s="1" t="n"/>
      <c r="G4" s="1" t="n"/>
    </row>
    <row r="5" ht="22.5" customHeight="1">
      <c r="B5" s="2" t="inlineStr">
        <is>
          <t xml:space="preserve">ولايـــــــــــــــــة  المنيعــــــــــــــــــــــة </t>
        </is>
      </c>
      <c r="C5" s="3" t="n"/>
      <c r="D5" s="3" t="n"/>
      <c r="E5" s="3" t="n"/>
      <c r="F5" s="70" t="n"/>
      <c r="H5" s="3" t="n"/>
    </row>
    <row r="6" ht="25.5" customHeight="1">
      <c r="B6" s="110" t="inlineStr">
        <is>
          <t>مديرية المواصلات السلكية واللاسلكية الوطنية لولاية المنيعة</t>
        </is>
      </c>
      <c r="E6" s="3" t="n"/>
      <c r="F6" s="4" t="inlineStr">
        <is>
          <t>الـبــــــاب  :</t>
        </is>
      </c>
      <c r="G6" s="5" t="n">
        <v>2</v>
      </c>
      <c r="I6" s="108" t="inlineStr">
        <is>
          <t xml:space="preserve">سبب التنقل </t>
        </is>
      </c>
      <c r="J6" s="108" t="inlineStr">
        <is>
          <t xml:space="preserve">المراحل </t>
        </is>
      </c>
      <c r="K6" s="103" t="inlineStr">
        <is>
          <t xml:space="preserve">تاريخ الذهاب والاياب </t>
        </is>
      </c>
      <c r="L6" s="109" t="inlineStr">
        <is>
          <t xml:space="preserve">ساعـة الذهاب و الإيـاب </t>
        </is>
      </c>
      <c r="M6" s="103" t="inlineStr">
        <is>
          <t xml:space="preserve">وسيلة نقل </t>
        </is>
      </c>
      <c r="N6" s="103" t="inlineStr">
        <is>
          <t xml:space="preserve">عــــدد التعـويــضــــات </t>
        </is>
      </c>
      <c r="O6" s="117" t="n"/>
      <c r="P6" s="117" t="n"/>
      <c r="Q6" s="118" t="n"/>
      <c r="R6" s="103" t="inlineStr">
        <is>
          <t xml:space="preserve">رقم المهمة / تاريخ المهمة </t>
        </is>
      </c>
      <c r="S6" s="119" t="n"/>
      <c r="T6" s="120" t="n"/>
    </row>
    <row r="7" ht="18.75" customHeight="1">
      <c r="E7" s="3" t="n"/>
      <c r="F7" s="4" t="inlineStr">
        <is>
          <t>الـمــــادة  :</t>
        </is>
      </c>
      <c r="G7" s="5" t="n">
        <v>21100</v>
      </c>
      <c r="I7" s="121" t="n"/>
      <c r="J7" s="121" t="n"/>
      <c r="K7" s="121" t="n"/>
      <c r="L7" s="121" t="n"/>
      <c r="M7" s="121" t="n"/>
      <c r="N7" s="103" t="inlineStr">
        <is>
          <t xml:space="preserve">شمــــــال </t>
        </is>
      </c>
      <c r="O7" s="118" t="n"/>
      <c r="P7" s="103" t="inlineStr">
        <is>
          <t>الجنــوب</t>
        </is>
      </c>
      <c r="Q7" s="118" t="n"/>
      <c r="R7" s="122" t="n"/>
      <c r="T7" s="20" t="n"/>
    </row>
    <row r="8">
      <c r="I8" s="123" t="n"/>
      <c r="J8" s="123" t="n"/>
      <c r="K8" s="123" t="n"/>
      <c r="L8" s="123" t="n"/>
      <c r="M8" s="123" t="n"/>
      <c r="N8" s="103" t="inlineStr">
        <is>
          <t xml:space="preserve">وجبة </t>
        </is>
      </c>
      <c r="O8" s="103" t="inlineStr">
        <is>
          <t>مرقد</t>
        </is>
      </c>
      <c r="P8" s="103" t="inlineStr">
        <is>
          <t xml:space="preserve">وجبة </t>
        </is>
      </c>
      <c r="Q8" s="103" t="inlineStr">
        <is>
          <t>مرقد</t>
        </is>
      </c>
      <c r="R8" s="124" t="n"/>
      <c r="S8" s="125" t="n"/>
      <c r="T8" s="126" t="n"/>
    </row>
    <row r="9" ht="26.25" customHeight="1">
      <c r="E9" s="115" t="inlineStr">
        <is>
          <t xml:space="preserve">كشـــــف مصاريــــف التنقــــــــــل </t>
        </is>
      </c>
      <c r="F9" s="7" t="n"/>
      <c r="G9" s="7" t="n"/>
      <c r="H9" s="7" t="n"/>
      <c r="I9" s="104" t="inlineStr">
        <is>
          <t>مهمة ادارية-تكوين</t>
        </is>
      </c>
      <c r="J9" s="91" t="inlineStr">
        <is>
          <t>المنيعة تلمسان</t>
        </is>
      </c>
      <c r="K9" s="8" t="inlineStr">
        <is>
          <t>25-04-2026</t>
        </is>
      </c>
      <c r="L9" s="9" t="inlineStr">
        <is>
          <t>07:00</t>
        </is>
      </c>
      <c r="M9" s="91" t="inlineStr">
        <is>
          <t>كل الوسائل</t>
        </is>
      </c>
      <c r="N9" s="127" t="n">
        <v>16</v>
      </c>
      <c r="O9" s="127" t="n">
        <v>7</v>
      </c>
      <c r="P9" s="127" t="inlineStr"/>
      <c r="Q9" s="127" t="inlineStr"/>
      <c r="R9" s="128" t="inlineStr">
        <is>
          <t>07</t>
        </is>
      </c>
      <c r="S9" s="11">
        <f>IF(K9="","","/")</f>
        <v/>
      </c>
      <c r="T9" s="12">
        <f>IF(K9="","",YEAR(DATEVALUE(K9)))</f>
        <v/>
      </c>
      <c r="U9" s="13" t="n"/>
      <c r="V9" s="13" t="n"/>
      <c r="W9" s="86" t="n">
        <v>1</v>
      </c>
    </row>
    <row r="10" ht="23.25" customHeight="1">
      <c r="E10" s="14" t="n"/>
      <c r="F10" s="7" t="n"/>
      <c r="G10" s="7" t="n"/>
      <c r="I10" s="123" t="n"/>
      <c r="J10" s="121" t="n"/>
      <c r="K10" s="16" t="inlineStr">
        <is>
          <t>02-05-2026</t>
        </is>
      </c>
      <c r="L10" s="17" t="inlineStr">
        <is>
          <t>23:00</t>
        </is>
      </c>
      <c r="M10" s="121" t="n"/>
      <c r="N10" s="121" t="n"/>
      <c r="O10" s="121" t="n"/>
      <c r="P10" s="121" t="n"/>
      <c r="Q10" s="121" t="n"/>
      <c r="R10" s="30" t="inlineStr">
        <is>
          <t>23/04/2026</t>
        </is>
      </c>
      <c r="S10" s="129" t="n"/>
      <c r="T10" s="130" t="n"/>
      <c r="U10" s="13" t="n"/>
      <c r="V10" s="13" t="n"/>
      <c r="W10" s="123" t="n"/>
    </row>
    <row r="11" ht="18.95" customHeight="1">
      <c r="B11" s="113" t="inlineStr">
        <is>
          <t xml:space="preserve">السيـــــــــــــد : </t>
        </is>
      </c>
      <c r="C11" s="111" t="inlineStr">
        <is>
          <t>عبد الحاكم علي</t>
        </is>
      </c>
      <c r="F11" s="114" t="inlineStr">
        <is>
          <t xml:space="preserve">لـشـهــــــــر  : </t>
        </is>
      </c>
      <c r="G11" s="131" t="inlineStr"/>
      <c r="H11" s="20" t="n"/>
      <c r="I11" s="132" t="n"/>
      <c r="J11" s="133" t="n"/>
      <c r="K11" s="23" t="n"/>
      <c r="L11" s="24" t="n"/>
      <c r="M11" s="134" t="n"/>
      <c r="N11" s="135" t="n"/>
      <c r="O11" s="135" t="n"/>
      <c r="P11" s="135" t="n"/>
      <c r="Q11" s="135" t="n"/>
      <c r="R11" s="136" t="n"/>
      <c r="S11" s="137" t="n"/>
      <c r="T11" s="27" t="n"/>
      <c r="U11" s="13" t="n"/>
      <c r="V11" s="13" t="n"/>
      <c r="W11" s="86" t="n">
        <v>1</v>
      </c>
    </row>
    <row r="12" ht="18.95" customHeight="1">
      <c r="B12" s="113" t="inlineStr">
        <is>
          <t>الـرتـبــــــــــــة :</t>
        </is>
      </c>
      <c r="C12" s="88" t="inlineStr">
        <is>
          <t>مساعد تقني متخصص</t>
        </is>
      </c>
      <c r="F12" s="114" t="inlineStr">
        <is>
          <t>الوظيفــــــة  :</t>
        </is>
      </c>
      <c r="G12" s="89">
        <f>C12</f>
        <v/>
      </c>
      <c r="H12" s="3" t="n"/>
      <c r="I12" s="123" t="n"/>
      <c r="J12" s="123" t="n"/>
      <c r="K12" s="30" t="n"/>
      <c r="L12" s="31" t="n"/>
      <c r="M12" s="138" t="n"/>
      <c r="N12" s="138" t="n"/>
      <c r="O12" s="138" t="n"/>
      <c r="P12" s="138" t="n"/>
      <c r="Q12" s="138" t="n"/>
      <c r="R12" s="30" t="n"/>
      <c r="S12" s="129" t="n"/>
      <c r="T12" s="130" t="n"/>
      <c r="U12" s="32" t="n"/>
      <c r="V12" s="32" t="n"/>
      <c r="W12" s="123" t="n"/>
    </row>
    <row r="13" ht="18.95" customHeight="1">
      <c r="B13" s="33" t="n"/>
      <c r="F13" s="18" t="n"/>
      <c r="H13" s="3" t="n"/>
      <c r="I13" s="139" t="n"/>
      <c r="J13" s="140" t="n"/>
      <c r="K13" s="8" t="n"/>
      <c r="L13" s="24" t="n"/>
      <c r="M13" s="134" t="n"/>
      <c r="N13" s="135" t="n"/>
      <c r="O13" s="135" t="n"/>
      <c r="P13" s="135" t="n"/>
      <c r="Q13" s="135" t="n"/>
      <c r="R13" s="141" t="n"/>
      <c r="S13" s="137" t="n"/>
      <c r="T13" s="27" t="n"/>
      <c r="U13" s="35" t="n"/>
      <c r="V13" s="35" t="n"/>
      <c r="W13" s="86" t="n">
        <v>1</v>
      </c>
    </row>
    <row r="14" ht="18.95" customHeight="1">
      <c r="B14" s="18" t="inlineStr">
        <is>
          <t>الرقم الاستدلالي :</t>
        </is>
      </c>
      <c r="C14" s="87" t="inlineStr">
        <is>
          <t>453</t>
        </is>
      </c>
      <c r="F14" s="113" t="inlineStr">
        <is>
          <t>الصـنــــــــف :</t>
        </is>
      </c>
      <c r="G14" s="2" t="inlineStr">
        <is>
          <t>10</t>
        </is>
      </c>
      <c r="H14" s="36" t="n"/>
      <c r="I14" s="138" t="n"/>
      <c r="J14" s="138" t="n"/>
      <c r="K14" s="16" t="n"/>
      <c r="L14" s="17" t="n"/>
      <c r="M14" s="138" t="n"/>
      <c r="N14" s="138" t="n"/>
      <c r="O14" s="138" t="n"/>
      <c r="P14" s="138" t="n"/>
      <c r="Q14" s="138" t="n"/>
      <c r="R14" s="30" t="n"/>
      <c r="S14" s="129" t="n"/>
      <c r="T14" s="130" t="n"/>
      <c r="W14" s="123" t="n"/>
    </row>
    <row r="15" ht="18.95" customHeight="1">
      <c r="B15" s="18" t="inlineStr">
        <is>
          <t>المقـــر الإداري :</t>
        </is>
      </c>
      <c r="C15" s="85" t="inlineStr">
        <is>
          <t>مديرية المواصلات السلكية واللاسلكية لولاية المنيعة</t>
        </is>
      </c>
      <c r="F15" s="37" t="inlineStr">
        <is>
          <t>الـبـنـــــــــك  :</t>
        </is>
      </c>
      <c r="G15" s="38" t="inlineStr">
        <is>
          <t>الحســاب البـريــدي  الجــاري</t>
        </is>
      </c>
      <c r="I15" s="134" t="n"/>
      <c r="J15" s="142" t="n"/>
      <c r="K15" s="23" t="n"/>
      <c r="L15" s="24" t="n"/>
      <c r="M15" s="134" t="n"/>
      <c r="N15" s="135" t="n"/>
      <c r="O15" s="135" t="n"/>
      <c r="P15" s="135" t="n"/>
      <c r="Q15" s="135" t="n"/>
      <c r="R15" s="136" t="n"/>
      <c r="S15" s="137" t="n"/>
      <c r="T15" s="39" t="n"/>
      <c r="W15" s="86" t="n">
        <v>1</v>
      </c>
    </row>
    <row r="16" ht="18.95" customHeight="1">
      <c r="B16" s="40" t="n"/>
      <c r="F16" s="37" t="inlineStr">
        <is>
          <t>رقم الحساب :</t>
        </is>
      </c>
      <c r="G16" s="63" t="inlineStr">
        <is>
          <t>0079999900406618713269100409010264</t>
        </is>
      </c>
      <c r="I16" s="138" t="n"/>
      <c r="J16" s="138" t="n"/>
      <c r="K16" s="30" t="n"/>
      <c r="L16" s="31" t="n"/>
      <c r="M16" s="138" t="n"/>
      <c r="N16" s="138" t="n"/>
      <c r="O16" s="138" t="n"/>
      <c r="P16" s="138" t="n"/>
      <c r="Q16" s="138" t="n"/>
      <c r="R16" s="30" t="n"/>
      <c r="S16" s="129" t="n"/>
      <c r="T16" s="130" t="n"/>
      <c r="W16" s="123" t="n"/>
    </row>
    <row r="17" ht="18.95" customHeight="1">
      <c r="B17" s="3" t="inlineStr">
        <is>
          <t>التعويضات اليومية :</t>
        </is>
      </c>
      <c r="H17" s="143" t="n"/>
      <c r="I17" s="134" t="n"/>
      <c r="J17" s="142" t="n"/>
      <c r="K17" s="16" t="n"/>
      <c r="L17" s="42" t="n"/>
      <c r="M17" s="134" t="n"/>
      <c r="N17" s="135" t="n"/>
      <c r="O17" s="135" t="n"/>
      <c r="P17" s="135" t="n"/>
      <c r="Q17" s="135" t="n"/>
      <c r="R17" s="141" t="n"/>
      <c r="S17" s="137">
        <f>IF(K17 = "","","/")</f>
        <v/>
      </c>
      <c r="T17" s="27">
        <f>IF(K17 = "","",YEAR(K17))</f>
        <v/>
      </c>
      <c r="W17" s="86" t="n">
        <v>0</v>
      </c>
    </row>
    <row r="18" ht="18.95" customHeight="1">
      <c r="H18" s="143" t="n"/>
      <c r="I18" s="138" t="n"/>
      <c r="J18" s="138" t="n"/>
      <c r="K18" s="16" t="n"/>
      <c r="L18" s="42" t="n"/>
      <c r="M18" s="138" t="n"/>
      <c r="N18" s="138" t="n"/>
      <c r="O18" s="138" t="n"/>
      <c r="P18" s="138" t="n"/>
      <c r="Q18" s="138" t="n"/>
      <c r="R18" s="30" t="n"/>
      <c r="S18" s="129" t="n"/>
      <c r="T18" s="130" t="n"/>
      <c r="W18" s="123" t="n"/>
    </row>
    <row r="19" ht="18.95" customHeight="1">
      <c r="B19" s="3" t="inlineStr">
        <is>
          <t xml:space="preserve">الشمال </t>
        </is>
      </c>
      <c r="C19" s="43" t="n"/>
      <c r="D19" s="144" t="n">
        <v>16</v>
      </c>
      <c r="E19" s="45" t="inlineStr">
        <is>
          <t>الاكــــــل  :</t>
        </is>
      </c>
      <c r="F19" s="46" t="n">
        <v>800</v>
      </c>
      <c r="G19" s="145" t="n">
        <v>12800</v>
      </c>
      <c r="I19" s="76" t="n"/>
      <c r="J19" s="78" t="n"/>
      <c r="K19" s="23" t="n"/>
      <c r="L19" s="76" t="n"/>
      <c r="M19" s="134" t="n"/>
      <c r="N19" s="135" t="n"/>
      <c r="O19" s="135" t="n"/>
      <c r="P19" s="135" t="n"/>
      <c r="Q19" s="135" t="n"/>
      <c r="R19" s="146" t="n"/>
      <c r="S19" s="137">
        <f>IF(K19 = "","","/")</f>
        <v/>
      </c>
      <c r="T19" s="49">
        <f>IF(K19 = "","",YEAR(K19))</f>
        <v/>
      </c>
      <c r="W19" s="86" t="n">
        <v>0</v>
      </c>
    </row>
    <row r="20" ht="18.95" customHeight="1">
      <c r="C20" s="43" t="n"/>
      <c r="D20" s="144" t="n">
        <v>7</v>
      </c>
      <c r="E20" s="50" t="inlineStr">
        <is>
          <t>:  النــــــوم</t>
        </is>
      </c>
      <c r="F20" s="46" t="n">
        <v>3200</v>
      </c>
      <c r="G20" s="145" t="n">
        <v>22400</v>
      </c>
      <c r="I20" s="83" t="n"/>
      <c r="J20" s="84" t="n"/>
      <c r="K20" s="30" t="n"/>
      <c r="L20" s="83" t="n"/>
      <c r="M20" s="138" t="n"/>
      <c r="N20" s="138" t="n"/>
      <c r="O20" s="138" t="n"/>
      <c r="P20" s="138" t="n"/>
      <c r="Q20" s="138" t="n"/>
      <c r="R20" s="30" t="n"/>
      <c r="S20" s="129" t="n"/>
      <c r="T20" s="130" t="n"/>
      <c r="W20" s="123" t="n"/>
    </row>
    <row r="21" ht="18.95" customHeight="1">
      <c r="D21" s="51" t="n"/>
      <c r="E21" s="45" t="n"/>
      <c r="F21" s="46" t="n"/>
      <c r="G21" s="51" t="n"/>
      <c r="I21" s="42" t="n"/>
      <c r="J21" s="105" t="n"/>
      <c r="K21" s="16" t="n"/>
      <c r="L21" s="42" t="n"/>
      <c r="M21" s="134" t="n"/>
      <c r="N21" s="135" t="n"/>
      <c r="O21" s="135" t="n"/>
      <c r="P21" s="135" t="n"/>
      <c r="Q21" s="135" t="n"/>
      <c r="R21" s="147" t="n"/>
      <c r="S21" s="137">
        <f>IF(K21 = "","","/")</f>
        <v/>
      </c>
      <c r="T21" s="53">
        <f>IF(K21 = "","",YEAR(K21))</f>
        <v/>
      </c>
      <c r="W21" s="86" t="n">
        <v>0</v>
      </c>
    </row>
    <row r="22" ht="18.95" customHeight="1">
      <c r="B22" s="3" t="inlineStr">
        <is>
          <t xml:space="preserve">الجنوب </t>
        </is>
      </c>
      <c r="C22" s="43" t="n"/>
      <c r="D22" s="144" t="inlineStr"/>
      <c r="E22" s="45" t="inlineStr">
        <is>
          <t>الاكــــــل  :</t>
        </is>
      </c>
      <c r="F22" s="46" t="n">
        <v>1000</v>
      </c>
      <c r="G22" s="145" t="inlineStr"/>
      <c r="I22" s="42" t="n"/>
      <c r="J22" s="105" t="n"/>
      <c r="K22" s="16" t="n"/>
      <c r="L22" s="42" t="n"/>
      <c r="M22" s="138" t="n"/>
      <c r="N22" s="138" t="n"/>
      <c r="O22" s="138" t="n"/>
      <c r="P22" s="138" t="n"/>
      <c r="Q22" s="138" t="n"/>
      <c r="R22" s="30" t="n"/>
      <c r="S22" s="129" t="n"/>
      <c r="T22" s="130" t="n"/>
      <c r="W22" s="123" t="n"/>
    </row>
    <row r="23" ht="18.95" customHeight="1">
      <c r="C23" s="43" t="n"/>
      <c r="D23" s="144" t="inlineStr"/>
      <c r="E23" s="50" t="inlineStr">
        <is>
          <t>:  النــــــوم</t>
        </is>
      </c>
      <c r="F23" s="46" t="n">
        <v>4000</v>
      </c>
      <c r="G23" s="145" t="inlineStr"/>
      <c r="H23" s="143" t="n"/>
      <c r="I23" s="134" t="n"/>
      <c r="J23" s="142" t="n"/>
      <c r="K23" s="23" t="n"/>
      <c r="L23" s="76" t="n"/>
      <c r="M23" s="134" t="n"/>
      <c r="N23" s="135" t="n"/>
      <c r="O23" s="135" t="n"/>
      <c r="P23" s="135" t="n"/>
      <c r="Q23" s="135" t="n"/>
      <c r="R23" s="136" t="n"/>
      <c r="S23" s="137">
        <f>IF(K23 = "","","/")</f>
        <v/>
      </c>
      <c r="T23" s="39">
        <f>IF(K23 = "","",YEAR(K23))</f>
        <v/>
      </c>
      <c r="W23" s="86" t="n">
        <v>0</v>
      </c>
    </row>
    <row r="24" ht="18.95" customHeight="1">
      <c r="I24" s="138" t="n"/>
      <c r="J24" s="138" t="n"/>
      <c r="K24" s="30" t="n"/>
      <c r="L24" s="83" t="n"/>
      <c r="M24" s="138" t="n"/>
      <c r="N24" s="138" t="n"/>
      <c r="O24" s="138" t="n"/>
      <c r="P24" s="138" t="n"/>
      <c r="Q24" s="138" t="n"/>
      <c r="R24" s="30" t="n"/>
      <c r="S24" s="129" t="n"/>
      <c r="T24" s="130" t="n"/>
      <c r="W24" s="123" t="n"/>
    </row>
    <row r="25" ht="18.95" customHeight="1">
      <c r="B25" s="54" t="inlineStr">
        <is>
          <t>المجموع العـــام ( مصاربــف النقـــل + التعويضـات اليوميــة )</t>
        </is>
      </c>
      <c r="C25" s="3" t="n"/>
      <c r="D25" s="3" t="n"/>
      <c r="E25" s="3" t="n"/>
      <c r="F25" s="3" t="n"/>
      <c r="G25" s="148" t="n">
        <v>35200</v>
      </c>
      <c r="I25" s="134" t="n"/>
      <c r="J25" s="142" t="n"/>
      <c r="K25" s="23" t="n"/>
      <c r="L25" s="76" t="n"/>
      <c r="M25" s="134" t="n"/>
      <c r="N25" s="135" t="n"/>
      <c r="O25" s="135" t="n"/>
      <c r="P25" s="135" t="n"/>
      <c r="Q25" s="135" t="n"/>
      <c r="R25" s="136" t="n"/>
      <c r="S25" s="137">
        <f>IF(K25 = "","","/")</f>
        <v/>
      </c>
      <c r="T25" s="39">
        <f>IF(K25 = "","",YEAR(K25))</f>
        <v/>
      </c>
      <c r="W25" s="86" t="n">
        <v>0</v>
      </c>
    </row>
    <row r="26" ht="18.95" customHeight="1">
      <c r="I26" s="138" t="n"/>
      <c r="J26" s="138" t="n"/>
      <c r="K26" s="30" t="n"/>
      <c r="L26" s="83" t="n"/>
      <c r="M26" s="138" t="n"/>
      <c r="N26" s="138" t="n"/>
      <c r="O26" s="138" t="n"/>
      <c r="P26" s="138" t="n"/>
      <c r="Q26" s="138" t="n"/>
      <c r="R26" s="30" t="n"/>
      <c r="S26" s="129" t="n"/>
      <c r="T26" s="130" t="n"/>
      <c r="W26" s="123" t="n"/>
    </row>
    <row r="27" ht="18.95" customHeight="1">
      <c r="I27" s="132" t="n"/>
      <c r="J27" s="133" t="n"/>
      <c r="K27" s="16" t="n"/>
      <c r="L27" s="42" t="n"/>
      <c r="M27" s="132" t="n"/>
      <c r="N27" s="149" t="n"/>
      <c r="O27" s="149" t="n"/>
      <c r="P27" s="149" t="n"/>
      <c r="Q27" s="149" t="n"/>
      <c r="R27" s="141" t="n"/>
      <c r="S27" s="137">
        <f>IF(K27 = "","","/")</f>
        <v/>
      </c>
      <c r="T27" s="27">
        <f>IF(K27 = "","",YEAR(K27))</f>
        <v/>
      </c>
      <c r="W27" s="86" t="n">
        <v>0</v>
      </c>
    </row>
    <row r="28" ht="18.95" customHeight="1">
      <c r="B28" s="56" t="inlineStr">
        <is>
          <t xml:space="preserve">اتعهد صاحب هذه المصاريف بصحة المعلومات اطلب تسديدها </t>
        </is>
      </c>
      <c r="I28" s="123" t="n"/>
      <c r="J28" s="123" t="n"/>
      <c r="K28" s="58" t="n"/>
      <c r="L28" s="77" t="n"/>
      <c r="M28" s="123" t="n"/>
      <c r="N28" s="123" t="n"/>
      <c r="O28" s="123" t="n"/>
      <c r="P28" s="123" t="n"/>
      <c r="Q28" s="123" t="n"/>
      <c r="R28" s="150" t="n"/>
      <c r="S28" s="125" t="n"/>
      <c r="T28" s="126" t="n"/>
      <c r="W28" s="123" t="n"/>
    </row>
    <row r="29" ht="32.25" customHeight="1">
      <c r="B29" s="51" t="inlineStr">
        <is>
          <t>أوقِف هذا الكشف عند مبلغ قدره: خمسة وثلاثون ألفاً ومائتان دينار جزائري تماماً</t>
        </is>
      </c>
      <c r="L29" s="151" t="inlineStr">
        <is>
          <t xml:space="preserve">المجموع </t>
        </is>
      </c>
      <c r="M29" s="118" t="n"/>
      <c r="N29" s="152" t="n">
        <v>16</v>
      </c>
      <c r="O29" s="152" t="n">
        <v>7</v>
      </c>
      <c r="P29" s="152" t="inlineStr"/>
      <c r="Q29" s="152" t="inlineStr"/>
    </row>
    <row r="30">
      <c r="N30" s="35" t="n"/>
      <c r="P30" s="35" t="n"/>
    </row>
    <row r="31" ht="18.75" customHeight="1">
      <c r="B31" s="51" t="n"/>
      <c r="C31" s="61" t="inlineStr">
        <is>
          <t>المنيعــة  في  :</t>
        </is>
      </c>
      <c r="D31" s="69" t="n"/>
      <c r="F31" s="51" t="n"/>
      <c r="G31" s="62" t="inlineStr">
        <is>
          <t>امضــاء  المعنـي</t>
        </is>
      </c>
    </row>
    <row r="32" ht="24" customHeight="1">
      <c r="C32" s="70" t="inlineStr">
        <is>
          <t xml:space="preserve">المديـــر </t>
        </is>
      </c>
      <c r="H32" s="60" t="n"/>
    </row>
    <row r="33">
      <c r="I33" s="60" t="n"/>
      <c r="J33" s="60" t="n"/>
    </row>
    <row r="36">
      <c r="E36" s="3" t="n"/>
    </row>
  </sheetData>
  <mergeCells count="106">
    <mergeCell ref="J9:J10"/>
    <mergeCell ref="Q21:Q22"/>
    <mergeCell ref="N25:N26"/>
    <mergeCell ref="N21:N22"/>
    <mergeCell ref="D31:E31"/>
    <mergeCell ref="P21:P22"/>
    <mergeCell ref="R20:T20"/>
    <mergeCell ref="Q23:Q24"/>
    <mergeCell ref="J11:J12"/>
    <mergeCell ref="P23:P24"/>
    <mergeCell ref="R22:T22"/>
    <mergeCell ref="I17:I18"/>
    <mergeCell ref="W11:W12"/>
    <mergeCell ref="Q27:Q28"/>
    <mergeCell ref="L29:M29"/>
    <mergeCell ref="M17:M18"/>
    <mergeCell ref="O17:O18"/>
    <mergeCell ref="R14:T14"/>
    <mergeCell ref="Q17:Q18"/>
    <mergeCell ref="Q11:Q12"/>
    <mergeCell ref="W27:W28"/>
    <mergeCell ref="O27:O28"/>
    <mergeCell ref="O19:O20"/>
    <mergeCell ref="M6:M8"/>
    <mergeCell ref="B6:D7"/>
    <mergeCell ref="M9:M10"/>
    <mergeCell ref="W13:W14"/>
    <mergeCell ref="O9:O10"/>
    <mergeCell ref="G12:G13"/>
    <mergeCell ref="Q25:Q26"/>
    <mergeCell ref="I15:I16"/>
    <mergeCell ref="J23:J24"/>
    <mergeCell ref="P25:P26"/>
    <mergeCell ref="W15:W16"/>
    <mergeCell ref="R24:T24"/>
    <mergeCell ref="W25:W26"/>
    <mergeCell ref="N7:O7"/>
    <mergeCell ref="P9:P10"/>
    <mergeCell ref="R26:T26"/>
    <mergeCell ref="P11:P12"/>
    <mergeCell ref="J27:J28"/>
    <mergeCell ref="M13:M14"/>
    <mergeCell ref="F5:G5"/>
    <mergeCell ref="M27:M28"/>
    <mergeCell ref="N13:N14"/>
    <mergeCell ref="M21:M22"/>
    <mergeCell ref="P13:P14"/>
    <mergeCell ref="J25:J26"/>
    <mergeCell ref="W17:W18"/>
    <mergeCell ref="J6:J8"/>
    <mergeCell ref="N15:N16"/>
    <mergeCell ref="C15:E15"/>
    <mergeCell ref="P15:P16"/>
    <mergeCell ref="M23:M24"/>
    <mergeCell ref="O23:O24"/>
    <mergeCell ref="B3:G3"/>
    <mergeCell ref="W19:W20"/>
    <mergeCell ref="I9:I10"/>
    <mergeCell ref="I11:I12"/>
    <mergeCell ref="M11:M12"/>
    <mergeCell ref="R12:T12"/>
    <mergeCell ref="N6:Q6"/>
    <mergeCell ref="P27:P28"/>
    <mergeCell ref="I6:I8"/>
    <mergeCell ref="K6:K8"/>
    <mergeCell ref="C11:E11"/>
    <mergeCell ref="M15:M16"/>
    <mergeCell ref="N17:N18"/>
    <mergeCell ref="M25:M26"/>
    <mergeCell ref="P17:P18"/>
    <mergeCell ref="O25:O26"/>
    <mergeCell ref="Q19:Q20"/>
    <mergeCell ref="W21:W22"/>
    <mergeCell ref="O21:O22"/>
    <mergeCell ref="Q15:Q16"/>
    <mergeCell ref="N19:N20"/>
    <mergeCell ref="P19:P20"/>
    <mergeCell ref="W23:W24"/>
    <mergeCell ref="N9:N10"/>
    <mergeCell ref="O11:O12"/>
    <mergeCell ref="I23:I24"/>
    <mergeCell ref="N11:N12"/>
    <mergeCell ref="C14:E14"/>
    <mergeCell ref="C32:D32"/>
    <mergeCell ref="R28:T28"/>
    <mergeCell ref="I27:I28"/>
    <mergeCell ref="J13:J14"/>
    <mergeCell ref="R6:T8"/>
    <mergeCell ref="J15:J16"/>
    <mergeCell ref="L6:L8"/>
    <mergeCell ref="I25:I26"/>
    <mergeCell ref="Q9:Q10"/>
    <mergeCell ref="N23:N24"/>
    <mergeCell ref="W9:W10"/>
    <mergeCell ref="P7:Q7"/>
    <mergeCell ref="I13:I14"/>
    <mergeCell ref="R18:T18"/>
    <mergeCell ref="C12:E13"/>
    <mergeCell ref="N27:N28"/>
    <mergeCell ref="O13:O14"/>
    <mergeCell ref="J17:J18"/>
    <mergeCell ref="R10:T10"/>
    <mergeCell ref="Q13:Q14"/>
    <mergeCell ref="M19:M20"/>
    <mergeCell ref="O15:O16"/>
    <mergeCell ref="R16:T16"/>
  </mergeCells>
  <printOptions horizontalCentered="1"/>
  <pageMargins left="0.1181102362204725" right="0.1181102362204725" top="0.3543307086614174" bottom="0.5511811023622047" header="0.3149606299212598" footer="0.3149606299212598"/>
  <pageSetup orientation="portrait" paperSize="123" scale="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budget</dc:creator>
  <dcterms:created xsi:type="dcterms:W3CDTF">2026-09-13T10:48:39Z</dcterms:created>
  <dcterms:modified xsi:type="dcterms:W3CDTF">2026-09-15T18:08:05Z</dcterms:modified>
  <cp:lastModifiedBy>mosbah mourad</cp:lastModifiedBy>
</cp:coreProperties>
</file>