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order\MissionTrack_DZ\"/>
    </mc:Choice>
  </mc:AlternateContent>
  <xr:revisionPtr revIDLastSave="0" documentId="13_ncr:1_{DEEFF455-F96D-4A8E-BE68-0D3F18263DD2}" xr6:coauthVersionLast="47" xr6:coauthVersionMax="47" xr10:uidLastSave="{00000000-0000-0000-0000-000000000000}"/>
  <bookViews>
    <workbookView xWindow="-120" yWindow="-120" windowWidth="29040" windowHeight="15720" xr2:uid="{95599811-59D8-4DFA-BEF2-30B68B22548D}"/>
  </bookViews>
  <sheets>
    <sheet name="عبد الحاكم علي" sheetId="1" r:id="rId1"/>
  </sheets>
  <definedNames>
    <definedName name="_xlnm.Print_Area" localSheetId="0">'عبد الحاكم علي'!$A$1:$U$33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S17" i="1"/>
  <c r="T17" i="1"/>
  <c r="S19" i="1"/>
  <c r="T19" i="1"/>
  <c r="D20" i="1"/>
  <c r="G20" i="1"/>
  <c r="S21" i="1"/>
  <c r="T21" i="1"/>
  <c r="S23" i="1"/>
  <c r="T23" i="1"/>
  <c r="S25" i="1"/>
  <c r="T25" i="1"/>
  <c r="S27" i="1"/>
  <c r="T27" i="1"/>
  <c r="Q29" i="1"/>
  <c r="D23" i="1" s="1"/>
  <c r="G23" i="1" s="1"/>
  <c r="P29" i="1"/>
  <c r="D22" i="1" s="1"/>
  <c r="G22" i="1" s="1"/>
  <c r="O29" i="1"/>
  <c r="N29" i="1"/>
  <c r="D19" i="1" s="1"/>
  <c r="G19" i="1" s="1"/>
  <c r="G25" i="1" s="1"/>
  <c r="T9" i="1"/>
  <c r="S9" i="1"/>
</calcChain>
</file>

<file path=xl/sharedStrings.xml><?xml version="1.0" encoding="utf-8"?>
<sst xmlns="http://schemas.openxmlformats.org/spreadsheetml/2006/main" count="49" uniqueCount="44">
  <si>
    <t xml:space="preserve">الجمهورية الجزائرية الديمقراطية الشعبية </t>
  </si>
  <si>
    <t xml:space="preserve">ولايـــــــــــــــــة  المنيعــــــــــــــــــــــة </t>
  </si>
  <si>
    <t>الـبــــــاب  :</t>
  </si>
  <si>
    <t xml:space="preserve">سبب التنقل </t>
  </si>
  <si>
    <t xml:space="preserve">المراحل </t>
  </si>
  <si>
    <t xml:space="preserve">تاريخ الذهاب والاياب </t>
  </si>
  <si>
    <t xml:space="preserve">ساعـة الذهاب و الإيـاب </t>
  </si>
  <si>
    <t xml:space="preserve">وسيلة نقل </t>
  </si>
  <si>
    <t xml:space="preserve">عــــدد التعـويــضــــات </t>
  </si>
  <si>
    <t xml:space="preserve">رقم المهمة / تاريخ المهمة </t>
  </si>
  <si>
    <t>الـمــــادة  :</t>
  </si>
  <si>
    <t xml:space="preserve">شمــــــال </t>
  </si>
  <si>
    <t>الجنــوب</t>
  </si>
  <si>
    <t xml:space="preserve">وجبة </t>
  </si>
  <si>
    <t>مرقد</t>
  </si>
  <si>
    <t xml:space="preserve">كشـــــف مصاريــــف التنقــــــــــل </t>
  </si>
  <si>
    <t xml:space="preserve">مهمة ادارية </t>
  </si>
  <si>
    <t>سيارة إدارية</t>
  </si>
  <si>
    <t xml:space="preserve">السيـــــــــــــد : </t>
  </si>
  <si>
    <t xml:space="preserve">لـشـهــــــــر  : </t>
  </si>
  <si>
    <t>الـرتـبــــــــــــة :</t>
  </si>
  <si>
    <t>الوظيفــــــة  :</t>
  </si>
  <si>
    <t>الرقم الاستدلالي :</t>
  </si>
  <si>
    <t>الصـنــــــــف :</t>
  </si>
  <si>
    <t>المقـــر الإداري :</t>
  </si>
  <si>
    <t>الـبـنـــــــــك  :</t>
  </si>
  <si>
    <t>الحســاب البـريــدي  الجــاري</t>
  </si>
  <si>
    <t>رقم الحساب :</t>
  </si>
  <si>
    <t>007 99999 0008376334 24</t>
  </si>
  <si>
    <t>التعويضات اليومية :</t>
  </si>
  <si>
    <t xml:space="preserve">الشمال </t>
  </si>
  <si>
    <t>الاكــــــل  :</t>
  </si>
  <si>
    <t>:  النــــــوم</t>
  </si>
  <si>
    <t xml:space="preserve">الجنوب </t>
  </si>
  <si>
    <t>المجموع العـــام ( مصاربــف النقـــل + التعويضـات اليوميــة )</t>
  </si>
  <si>
    <t xml:space="preserve">اتعهد صاحب هذه المصاريف بصحة المعلومات اطلب تسديدها </t>
  </si>
  <si>
    <t xml:space="preserve">المجموع </t>
  </si>
  <si>
    <t>المنيعــة  في  :</t>
  </si>
  <si>
    <t>امضــاء  المعنـي</t>
  </si>
  <si>
    <t xml:space="preserve">المديـــر </t>
  </si>
  <si>
    <t>مديرية المواصلات السلكية واللاسلكية الوطنية لولاية المنيعة</t>
  </si>
  <si>
    <t>المنيعة  - تلمسان</t>
  </si>
  <si>
    <t>عبد الحاكم علي</t>
  </si>
  <si>
    <t>مساعد تقني متخصص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</si>
</sst>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\/\ mm\ \/\ yyyy"/>
    <numFmt numFmtId="165" formatCode="00"/>
    <numFmt numFmtId="166" formatCode="000"/>
    <numFmt numFmtId="167" formatCode="[$-10C0000]\ mmmm\ yyyy;@"/>
    <numFmt numFmtId="168" formatCode="&quot;2024 / &quot;\ 000"/>
    <numFmt numFmtId="169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b/>
      <u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164" fontId="9" fillId="0" borderId="13" xfId="0" applyNumberFormat="1" applyFont="1" applyBorder="1" applyAlignment="1">
      <alignment horizontal="center" vertical="center" readingOrder="2"/>
    </xf>
    <xf numFmtId="20" fontId="9" fillId="0" borderId="13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readingOrder="2"/>
    </xf>
    <xf numFmtId="20" fontId="9" fillId="0" borderId="14" xfId="0" applyNumberFormat="1" applyFont="1" applyBorder="1" applyAlignment="1">
      <alignment horizontal="center" vertical="center"/>
    </xf>
    <xf numFmtId="0" fontId="11" fillId="0" borderId="0" xfId="0" applyFont="1"/>
    <xf numFmtId="167" fontId="6" fillId="0" borderId="0" xfId="0" applyNumberFormat="1" applyFont="1" applyAlignment="1">
      <alignment horizontal="center" vertical="center"/>
    </xf>
    <xf numFmtId="0" fontId="0" fillId="0" borderId="9" xfId="0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readingOrder="2"/>
    </xf>
    <xf numFmtId="20" fontId="9" fillId="0" borderId="18" xfId="0" applyNumberFormat="1" applyFont="1" applyBorder="1" applyAlignment="1">
      <alignment horizontal="center" vertical="center"/>
    </xf>
    <xf numFmtId="166" fontId="9" fillId="0" borderId="19" xfId="0" applyNumberFormat="1" applyFont="1" applyBorder="1" applyAlignment="1">
      <alignment horizontal="center" vertical="center"/>
    </xf>
    <xf numFmtId="168" fontId="9" fillId="0" borderId="20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164" fontId="9" fillId="0" borderId="21" xfId="0" applyNumberFormat="1" applyFont="1" applyBorder="1" applyAlignment="1">
      <alignment horizontal="center" vertical="center" readingOrder="2"/>
    </xf>
    <xf numFmtId="20" fontId="9" fillId="0" borderId="2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2" fillId="0" borderId="0" xfId="0" applyFont="1"/>
    <xf numFmtId="166" fontId="9" fillId="0" borderId="8" xfId="0" applyNumberFormat="1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2" borderId="9" xfId="0" applyNumberFormat="1" applyFont="1" applyFill="1" applyBorder="1" applyAlignment="1">
      <alignment horizontal="center"/>
    </xf>
    <xf numFmtId="0" fontId="13" fillId="0" borderId="0" xfId="0" applyFont="1"/>
    <xf numFmtId="0" fontId="6" fillId="0" borderId="0" xfId="0" applyFont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4" fillId="0" borderId="0" xfId="0" applyFont="1"/>
    <xf numFmtId="169" fontId="0" fillId="0" borderId="0" xfId="0" applyNumberFormat="1"/>
    <xf numFmtId="0" fontId="9" fillId="0" borderId="14" xfId="0" applyFont="1" applyBorder="1" applyAlignment="1">
      <alignment horizontal="center" vertical="center"/>
    </xf>
    <xf numFmtId="0" fontId="0" fillId="0" borderId="23" xfId="0" applyBorder="1"/>
    <xf numFmtId="165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right" vertical="center"/>
    </xf>
    <xf numFmtId="169" fontId="6" fillId="0" borderId="0" xfId="0" applyNumberFormat="1" applyFont="1"/>
    <xf numFmtId="166" fontId="9" fillId="0" borderId="19" xfId="0" applyNumberFormat="1" applyFont="1" applyBorder="1" applyAlignment="1">
      <alignment horizontal="center" vertical="center" readingOrder="2"/>
    </xf>
    <xf numFmtId="0" fontId="9" fillId="0" borderId="22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1"/>
    </xf>
    <xf numFmtId="0" fontId="6" fillId="0" borderId="0" xfId="0" applyFont="1"/>
    <xf numFmtId="166" fontId="9" fillId="0" borderId="8" xfId="0" applyNumberFormat="1" applyFont="1" applyBorder="1" applyAlignment="1">
      <alignment horizontal="center" vertical="center" readingOrder="2"/>
    </xf>
    <xf numFmtId="0" fontId="9" fillId="0" borderId="9" xfId="0" applyFont="1" applyBorder="1" applyAlignment="1">
      <alignment horizontal="center" vertical="center" readingOrder="2"/>
    </xf>
    <xf numFmtId="0" fontId="15" fillId="0" borderId="0" xfId="0" applyFont="1"/>
    <xf numFmtId="169" fontId="6" fillId="0" borderId="6" xfId="0" applyNumberFormat="1" applyFont="1" applyBorder="1"/>
    <xf numFmtId="0" fontId="5" fillId="0" borderId="0" xfId="0" applyFont="1"/>
    <xf numFmtId="0" fontId="9" fillId="0" borderId="24" xfId="0" applyFont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 readingOrder="2"/>
    </xf>
    <xf numFmtId="165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right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6" fillId="0" borderId="0" xfId="0" applyNumberFormat="1" applyFont="1" applyAlignment="1">
      <alignment horizontal="center" readingOrder="2"/>
    </xf>
    <xf numFmtId="0" fontId="4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 readingOrder="2"/>
    </xf>
    <xf numFmtId="164" fontId="9" fillId="0" borderId="16" xfId="0" applyNumberFormat="1" applyFont="1" applyBorder="1" applyAlignment="1">
      <alignment horizontal="center" vertical="center" readingOrder="2"/>
    </xf>
    <xf numFmtId="164" fontId="9" fillId="0" borderId="17" xfId="0" applyNumberFormat="1" applyFont="1" applyBorder="1" applyAlignment="1">
      <alignment horizontal="center" vertical="center" readingOrder="2"/>
    </xf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65" fontId="9" fillId="0" borderId="18" xfId="0" applyNumberFormat="1" applyFont="1" applyBorder="1" applyAlignment="1">
      <alignment horizontal="center" vertical="center"/>
    </xf>
    <xf numFmtId="165" fontId="9" fillId="0" borderId="24" xfId="0" applyNumberFormat="1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7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165" fontId="9" fillId="0" borderId="13" xfId="0" applyNumberFormat="1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DA21-7490-4CB0-9EC1-590213E4B3FD}">
  <dimension ref="B3:W36"/>
  <sheetViews>
    <sheetView showGridLines="0" rightToLeft="1" tabSelected="1" view="pageBreakPreview" zoomScale="80" zoomScaleNormal="80" zoomScaleSheetLayoutView="80" workbookViewId="0">
      <selection activeCell="B3" sqref="B3:G3"/>
    </sheetView>
  </sheetViews>
  <sheetFormatPr baseColWidth="10" defaultColWidth="11.140625" defaultRowHeight="15" x14ac:dyDescent="0.25"/>
  <cols>
    <col min="1" max="1" width="1.140625" customWidth="1"/>
    <col min="2" max="2" width="15" customWidth="1"/>
    <col min="3" max="3" width="8.85546875" customWidth="1"/>
    <col min="4" max="4" width="16.7109375" customWidth="1"/>
    <col min="5" max="5" width="13" customWidth="1"/>
    <col min="6" max="6" width="15.28515625" bestFit="1" customWidth="1"/>
    <col min="7" max="7" width="37.140625" customWidth="1"/>
    <col min="8" max="8" width="1.7109375" customWidth="1"/>
    <col min="9" max="9" width="15.42578125" customWidth="1"/>
    <col min="10" max="10" width="22" customWidth="1"/>
    <col min="11" max="11" width="15.140625" customWidth="1"/>
    <col min="12" max="12" width="8.28515625" customWidth="1"/>
    <col min="13" max="13" width="11" customWidth="1"/>
    <col min="14" max="14" width="5.7109375" customWidth="1"/>
    <col min="15" max="15" width="5.28515625" customWidth="1"/>
    <col min="16" max="16" width="5.7109375" customWidth="1"/>
    <col min="17" max="17" width="4.7109375" customWidth="1"/>
    <col min="18" max="18" width="5.85546875" customWidth="1"/>
    <col min="19" max="19" width="1" customWidth="1"/>
    <col min="20" max="20" width="9.42578125" customWidth="1"/>
    <col min="21" max="22" width="1.7109375" customWidth="1"/>
    <col min="23" max="23" width="5.140625" customWidth="1"/>
  </cols>
  <sheetData>
    <row r="3" spans="2:23" ht="22.5" customHeight="1" x14ac:dyDescent="0.25">
      <c r="B3" s="116" t="s">
        <v>0</v>
      </c>
      <c r="C3" s="116"/>
      <c r="D3" s="116"/>
      <c r="E3" s="116"/>
      <c r="F3" s="116"/>
      <c r="G3" s="116"/>
    </row>
    <row r="4" spans="2:23" ht="9" customHeight="1" x14ac:dyDescent="0.25">
      <c r="B4" s="1"/>
      <c r="C4" s="1"/>
      <c r="D4" s="1"/>
      <c r="E4" s="1"/>
      <c r="F4" s="1"/>
      <c r="G4" s="1"/>
    </row>
    <row r="5" spans="2:23" ht="22.5" customHeight="1" x14ac:dyDescent="0.4">
      <c r="B5" s="2" t="s">
        <v>1</v>
      </c>
      <c r="C5" s="3"/>
      <c r="D5" s="3"/>
      <c r="E5" s="3"/>
      <c r="F5" s="70"/>
      <c r="G5" s="70"/>
      <c r="H5" s="3"/>
    </row>
    <row r="6" spans="2:23" ht="25.5" customHeight="1" x14ac:dyDescent="0.25">
      <c r="B6" s="110" t="s">
        <v>40</v>
      </c>
      <c r="C6" s="110"/>
      <c r="D6" s="110"/>
      <c r="E6" s="3"/>
      <c r="F6" s="4" t="s">
        <v>2</v>
      </c>
      <c r="G6" s="5">
        <v>2</v>
      </c>
      <c r="I6" s="108" t="s">
        <v>3</v>
      </c>
      <c r="J6" s="108" t="s">
        <v>4</v>
      </c>
      <c r="K6" s="103" t="s">
        <v>5</v>
      </c>
      <c r="L6" s="109" t="s">
        <v>6</v>
      </c>
      <c r="M6" s="103" t="s">
        <v>7</v>
      </c>
      <c r="N6" s="101" t="s">
        <v>8</v>
      </c>
      <c r="O6" s="112"/>
      <c r="P6" s="112"/>
      <c r="Q6" s="102"/>
      <c r="R6" s="92" t="s">
        <v>9</v>
      </c>
      <c r="S6" s="93"/>
      <c r="T6" s="94"/>
    </row>
    <row r="7" spans="2:23" ht="18.75" x14ac:dyDescent="0.25">
      <c r="B7" s="110"/>
      <c r="C7" s="110"/>
      <c r="D7" s="110"/>
      <c r="E7" s="3"/>
      <c r="F7" s="4" t="s">
        <v>10</v>
      </c>
      <c r="G7" s="5">
        <v>21100</v>
      </c>
      <c r="I7" s="108"/>
      <c r="J7" s="108"/>
      <c r="K7" s="103"/>
      <c r="L7" s="109"/>
      <c r="M7" s="103"/>
      <c r="N7" s="101" t="s">
        <v>11</v>
      </c>
      <c r="O7" s="102"/>
      <c r="P7" s="103" t="s">
        <v>12</v>
      </c>
      <c r="Q7" s="103"/>
      <c r="R7" s="95"/>
      <c r="S7" s="96"/>
      <c r="T7" s="97"/>
    </row>
    <row r="8" spans="2:23" x14ac:dyDescent="0.25">
      <c r="I8" s="108"/>
      <c r="J8" s="108"/>
      <c r="K8" s="103"/>
      <c r="L8" s="109"/>
      <c r="M8" s="103"/>
      <c r="N8" s="6" t="s">
        <v>13</v>
      </c>
      <c r="O8" s="6" t="s">
        <v>14</v>
      </c>
      <c r="P8" s="6" t="s">
        <v>13</v>
      </c>
      <c r="Q8" s="6" t="s">
        <v>14</v>
      </c>
      <c r="R8" s="98"/>
      <c r="S8" s="99"/>
      <c r="T8" s="100"/>
    </row>
    <row r="9" spans="2:23" ht="26.25" customHeight="1" x14ac:dyDescent="0.3">
      <c r="E9" s="115" t="s">
        <v>15</v>
      </c>
      <c r="F9" s="7"/>
      <c r="G9" s="7"/>
      <c r="H9" s="7"/>
      <c r="I9" s="104" t="s">
        <v>16</v>
      </c>
      <c r="J9" s="91" t="s">
        <v>41</v>
      </c>
      <c r="K9" s="8">
        <v>46135</v>
      </c>
      <c r="L9" s="9">
        <v>0.29166666666666669</v>
      </c>
      <c r="M9" s="91" t="s">
        <v>17</v>
      </c>
      <c r="N9" s="106">
        <v>20</v>
      </c>
      <c r="O9" s="106">
        <v>9</v>
      </c>
      <c r="P9" s="106"/>
      <c r="Q9" s="106"/>
      <c r="R9" s="10">
        <v>4</v>
      </c>
      <c r="S9" s="11" t="str">
        <f>IF(K9 = "","","/")</f>
        <v>/</v>
      </c>
      <c r="T9" s="12">
        <f>IF(K9 = "","",YEAR(K9))</f>
        <v>2026</v>
      </c>
      <c r="U9" s="13"/>
      <c r="V9" s="13"/>
      <c r="W9" s="86">
        <v>1</v>
      </c>
    </row>
    <row r="10" spans="2:23" ht="23.25" customHeight="1" x14ac:dyDescent="0.3">
      <c r="E10" s="14"/>
      <c r="F10" s="7"/>
      <c r="G10" s="7"/>
      <c r="I10" s="90"/>
      <c r="J10" s="105"/>
      <c r="K10" s="16">
        <v>46144</v>
      </c>
      <c r="L10" s="17">
        <v>0.95833333333333337</v>
      </c>
      <c r="M10" s="105"/>
      <c r="N10" s="107"/>
      <c r="O10" s="107"/>
      <c r="P10" s="107"/>
      <c r="Q10" s="107"/>
      <c r="R10" s="73">
        <v>45665</v>
      </c>
      <c r="S10" s="74"/>
      <c r="T10" s="75"/>
      <c r="U10" s="13"/>
      <c r="V10" s="13"/>
      <c r="W10" s="86"/>
    </row>
    <row r="11" spans="2:23" ht="18.95" customHeight="1" x14ac:dyDescent="0.3">
      <c r="B11" s="113" t="s">
        <v>18</v>
      </c>
      <c r="C11" s="111" t="s">
        <v>42</v>
      </c>
      <c r="D11" s="111"/>
      <c r="E11" s="111"/>
      <c r="F11" s="114" t="s">
        <v>19</v>
      </c>
      <c r="G11" s="19"/>
      <c r="H11" s="20"/>
      <c r="I11" s="76"/>
      <c r="J11" s="78"/>
      <c r="K11" s="23"/>
      <c r="L11" s="24"/>
      <c r="M11" s="76"/>
      <c r="N11" s="80"/>
      <c r="O11" s="80"/>
      <c r="P11" s="80"/>
      <c r="Q11" s="80"/>
      <c r="R11" s="25"/>
      <c r="S11" s="26"/>
      <c r="T11" s="27"/>
      <c r="U11" s="13"/>
      <c r="V11" s="13"/>
      <c r="W11" s="71">
        <v>1</v>
      </c>
    </row>
    <row r="12" spans="2:23" ht="18.95" customHeight="1" x14ac:dyDescent="0.3">
      <c r="B12" s="113" t="s">
        <v>20</v>
      </c>
      <c r="C12" s="88" t="s">
        <v>43</v>
      </c>
      <c r="D12" s="88"/>
      <c r="E12" s="88"/>
      <c r="F12" s="114" t="s">
        <v>21</v>
      </c>
      <c r="G12" s="89" t="str">
        <f>C12</f>
        <v>مساعد تقني متخصص</v>
      </c>
      <c r="H12" s="3"/>
      <c r="I12" s="77"/>
      <c r="J12" s="79"/>
      <c r="K12" s="30"/>
      <c r="L12" s="31"/>
      <c r="M12" s="83"/>
      <c r="N12" s="82"/>
      <c r="O12" s="82"/>
      <c r="P12" s="82"/>
      <c r="Q12" s="82"/>
      <c r="R12" s="73"/>
      <c r="S12" s="74"/>
      <c r="T12" s="75"/>
      <c r="U12" s="32"/>
      <c r="V12" s="32"/>
      <c r="W12" s="72"/>
    </row>
    <row r="13" spans="2:23" ht="18.95" customHeight="1" x14ac:dyDescent="0.25">
      <c r="B13" s="33"/>
      <c r="C13" s="88"/>
      <c r="D13" s="88"/>
      <c r="E13" s="88"/>
      <c r="F13" s="18"/>
      <c r="G13" s="89"/>
      <c r="H13" s="3"/>
      <c r="I13" s="90"/>
      <c r="J13" s="91"/>
      <c r="K13" s="8"/>
      <c r="L13" s="24"/>
      <c r="M13" s="76"/>
      <c r="N13" s="80"/>
      <c r="O13" s="80"/>
      <c r="P13" s="80"/>
      <c r="Q13" s="80"/>
      <c r="R13" s="34"/>
      <c r="S13" s="26"/>
      <c r="T13" s="27"/>
      <c r="U13" s="35"/>
      <c r="V13" s="35"/>
      <c r="W13" s="71">
        <v>1</v>
      </c>
    </row>
    <row r="14" spans="2:23" ht="18.95" customHeight="1" x14ac:dyDescent="0.3">
      <c r="B14" s="18" t="s">
        <v>22</v>
      </c>
      <c r="C14" s="87"/>
      <c r="D14" s="87"/>
      <c r="E14" s="87"/>
      <c r="F14" s="113" t="s">
        <v>23</v>
      </c>
      <c r="G14" s="2"/>
      <c r="H14" s="36"/>
      <c r="I14" s="83"/>
      <c r="J14" s="84"/>
      <c r="K14" s="16"/>
      <c r="L14" s="17"/>
      <c r="M14" s="83"/>
      <c r="N14" s="82"/>
      <c r="O14" s="82"/>
      <c r="P14" s="82"/>
      <c r="Q14" s="82"/>
      <c r="R14" s="73"/>
      <c r="S14" s="74"/>
      <c r="T14" s="75"/>
      <c r="W14" s="72"/>
    </row>
    <row r="15" spans="2:23" ht="18.95" customHeight="1" x14ac:dyDescent="0.25">
      <c r="B15" s="18" t="s">
        <v>24</v>
      </c>
      <c r="C15" s="85" t="s">
        <v>40</v>
      </c>
      <c r="D15" s="85"/>
      <c r="E15" s="85"/>
      <c r="F15" s="37" t="s">
        <v>25</v>
      </c>
      <c r="G15" s="38" t="s">
        <v>26</v>
      </c>
      <c r="I15" s="76"/>
      <c r="J15" s="78"/>
      <c r="K15" s="23"/>
      <c r="L15" s="24"/>
      <c r="M15" s="76"/>
      <c r="N15" s="80"/>
      <c r="O15" s="80"/>
      <c r="P15" s="80"/>
      <c r="Q15" s="80"/>
      <c r="R15" s="25"/>
      <c r="S15" s="26"/>
      <c r="T15" s="39"/>
      <c r="W15" s="71">
        <v>1</v>
      </c>
    </row>
    <row r="16" spans="2:23" ht="18.95" customHeight="1" x14ac:dyDescent="0.25">
      <c r="B16" s="40"/>
      <c r="F16" s="37" t="s">
        <v>27</v>
      </c>
      <c r="G16" s="63" t="s">
        <v>28</v>
      </c>
      <c r="I16" s="83"/>
      <c r="J16" s="84"/>
      <c r="K16" s="30"/>
      <c r="L16" s="31"/>
      <c r="M16" s="83"/>
      <c r="N16" s="82"/>
      <c r="O16" s="82"/>
      <c r="P16" s="82"/>
      <c r="Q16" s="82"/>
      <c r="R16" s="73"/>
      <c r="S16" s="74"/>
      <c r="T16" s="75"/>
      <c r="W16" s="72"/>
    </row>
    <row r="17" spans="2:23" ht="18.95" customHeight="1" x14ac:dyDescent="0.25">
      <c r="B17" s="3" t="s">
        <v>29</v>
      </c>
      <c r="H17" s="41"/>
      <c r="I17" s="76"/>
      <c r="J17" s="78"/>
      <c r="K17" s="16"/>
      <c r="L17" s="42"/>
      <c r="M17" s="76"/>
      <c r="N17" s="80"/>
      <c r="O17" s="80"/>
      <c r="P17" s="80"/>
      <c r="Q17" s="80"/>
      <c r="R17" s="34"/>
      <c r="S17" s="26" t="str">
        <f>IF(K17 = "","","/")</f>
        <v/>
      </c>
      <c r="T17" s="27" t="str">
        <f>IF(K17 = "","",YEAR(K17))</f>
        <v/>
      </c>
      <c r="W17" s="71">
        <v>0</v>
      </c>
    </row>
    <row r="18" spans="2:23" ht="18.95" customHeight="1" x14ac:dyDescent="0.25">
      <c r="H18" s="41"/>
      <c r="I18" s="83"/>
      <c r="J18" s="84"/>
      <c r="K18" s="16"/>
      <c r="L18" s="42"/>
      <c r="M18" s="83"/>
      <c r="N18" s="82"/>
      <c r="O18" s="82"/>
      <c r="P18" s="82"/>
      <c r="Q18" s="82"/>
      <c r="R18" s="73"/>
      <c r="S18" s="74"/>
      <c r="T18" s="75"/>
      <c r="W18" s="72"/>
    </row>
    <row r="19" spans="2:23" ht="18.95" customHeight="1" x14ac:dyDescent="0.3">
      <c r="B19" s="3" t="s">
        <v>30</v>
      </c>
      <c r="C19" s="43"/>
      <c r="D19" s="44">
        <f>N29</f>
        <v>20</v>
      </c>
      <c r="E19" s="45" t="s">
        <v>31</v>
      </c>
      <c r="F19" s="46">
        <v>800</v>
      </c>
      <c r="G19" s="47">
        <f>D19 * F19</f>
        <v>16000</v>
      </c>
      <c r="I19" s="21"/>
      <c r="J19" s="22"/>
      <c r="K19" s="23"/>
      <c r="L19" s="21"/>
      <c r="M19" s="76"/>
      <c r="N19" s="80"/>
      <c r="O19" s="80"/>
      <c r="P19" s="80"/>
      <c r="Q19" s="80"/>
      <c r="R19" s="48"/>
      <c r="S19" s="26" t="str">
        <f>IF(K19 = "","","/")</f>
        <v/>
      </c>
      <c r="T19" s="49" t="str">
        <f>IF(K19 = "","",YEAR(K19))</f>
        <v/>
      </c>
      <c r="W19" s="71">
        <v>0</v>
      </c>
    </row>
    <row r="20" spans="2:23" ht="18.95" customHeight="1" x14ac:dyDescent="0.3">
      <c r="C20" s="43"/>
      <c r="D20" s="44">
        <f>O29</f>
        <v>9</v>
      </c>
      <c r="E20" s="50" t="s">
        <v>32</v>
      </c>
      <c r="F20" s="46">
        <v>3200</v>
      </c>
      <c r="G20" s="47">
        <f>D20 * F20</f>
        <v>28800</v>
      </c>
      <c r="I20" s="28"/>
      <c r="J20" s="29"/>
      <c r="K20" s="30"/>
      <c r="L20" s="28"/>
      <c r="M20" s="83"/>
      <c r="N20" s="82"/>
      <c r="O20" s="82"/>
      <c r="P20" s="82"/>
      <c r="Q20" s="82"/>
      <c r="R20" s="73"/>
      <c r="S20" s="74"/>
      <c r="T20" s="75"/>
      <c r="W20" s="72"/>
    </row>
    <row r="21" spans="2:23" ht="18.95" customHeight="1" x14ac:dyDescent="0.3">
      <c r="D21" s="51"/>
      <c r="E21" s="45"/>
      <c r="F21" s="46"/>
      <c r="G21" s="51"/>
      <c r="I21" s="42"/>
      <c r="J21" s="15"/>
      <c r="K21" s="16"/>
      <c r="L21" s="42"/>
      <c r="M21" s="76"/>
      <c r="N21" s="80"/>
      <c r="O21" s="80"/>
      <c r="P21" s="80"/>
      <c r="Q21" s="80"/>
      <c r="R21" s="52"/>
      <c r="S21" s="26" t="str">
        <f>IF(K21 = "","","/")</f>
        <v/>
      </c>
      <c r="T21" s="53" t="str">
        <f>IF(K21 = "","",YEAR(K21))</f>
        <v/>
      </c>
      <c r="W21" s="71">
        <v>0</v>
      </c>
    </row>
    <row r="22" spans="2:23" ht="18.95" customHeight="1" x14ac:dyDescent="0.3">
      <c r="B22" s="3" t="s">
        <v>33</v>
      </c>
      <c r="C22" s="43"/>
      <c r="D22" s="44">
        <f>P29</f>
        <v>0</v>
      </c>
      <c r="E22" s="45" t="s">
        <v>31</v>
      </c>
      <c r="F22" s="46">
        <v>1000</v>
      </c>
      <c r="G22" s="47">
        <f>D22 * F22</f>
        <v>0</v>
      </c>
      <c r="I22" s="42"/>
      <c r="J22" s="15"/>
      <c r="K22" s="16"/>
      <c r="L22" s="42"/>
      <c r="M22" s="83"/>
      <c r="N22" s="82"/>
      <c r="O22" s="82"/>
      <c r="P22" s="82"/>
      <c r="Q22" s="82"/>
      <c r="R22" s="73"/>
      <c r="S22" s="74"/>
      <c r="T22" s="75"/>
      <c r="W22" s="72"/>
    </row>
    <row r="23" spans="2:23" ht="18.95" customHeight="1" x14ac:dyDescent="0.3">
      <c r="C23" s="43"/>
      <c r="D23" s="44">
        <f>Q29</f>
        <v>0</v>
      </c>
      <c r="E23" s="50" t="s">
        <v>32</v>
      </c>
      <c r="F23" s="46">
        <v>4000</v>
      </c>
      <c r="G23" s="47">
        <f>D23 * F23</f>
        <v>0</v>
      </c>
      <c r="H23" s="41"/>
      <c r="I23" s="76"/>
      <c r="J23" s="78"/>
      <c r="K23" s="23"/>
      <c r="L23" s="21"/>
      <c r="M23" s="76"/>
      <c r="N23" s="80"/>
      <c r="O23" s="80"/>
      <c r="P23" s="80"/>
      <c r="Q23" s="80"/>
      <c r="R23" s="25"/>
      <c r="S23" s="26" t="str">
        <f>IF(K23 = "","","/")</f>
        <v/>
      </c>
      <c r="T23" s="39" t="str">
        <f>IF(K23 = "","",YEAR(K23))</f>
        <v/>
      </c>
      <c r="W23" s="71">
        <v>0</v>
      </c>
    </row>
    <row r="24" spans="2:23" ht="18.95" customHeight="1" x14ac:dyDescent="0.25">
      <c r="I24" s="83"/>
      <c r="J24" s="84"/>
      <c r="K24" s="30"/>
      <c r="L24" s="28"/>
      <c r="M24" s="83"/>
      <c r="N24" s="82"/>
      <c r="O24" s="82"/>
      <c r="P24" s="82"/>
      <c r="Q24" s="82"/>
      <c r="R24" s="73"/>
      <c r="S24" s="74"/>
      <c r="T24" s="75"/>
      <c r="W24" s="72"/>
    </row>
    <row r="25" spans="2:23" ht="18.95" customHeight="1" x14ac:dyDescent="0.3">
      <c r="B25" s="54" t="s">
        <v>34</v>
      </c>
      <c r="C25" s="3"/>
      <c r="D25" s="3"/>
      <c r="E25" s="3"/>
      <c r="F25" s="3"/>
      <c r="G25" s="55">
        <f>SUM(G19:G23)</f>
        <v>44800</v>
      </c>
      <c r="I25" s="76"/>
      <c r="J25" s="78"/>
      <c r="K25" s="23"/>
      <c r="L25" s="21"/>
      <c r="M25" s="76"/>
      <c r="N25" s="80"/>
      <c r="O25" s="80"/>
      <c r="P25" s="80"/>
      <c r="Q25" s="80"/>
      <c r="R25" s="25"/>
      <c r="S25" s="26" t="str">
        <f>IF(K25 = "","","/")</f>
        <v/>
      </c>
      <c r="T25" s="39" t="str">
        <f>IF(K25 = "","",YEAR(K25))</f>
        <v/>
      </c>
      <c r="W25" s="71">
        <v>0</v>
      </c>
    </row>
    <row r="26" spans="2:23" ht="18.95" customHeight="1" x14ac:dyDescent="0.25">
      <c r="I26" s="83"/>
      <c r="J26" s="84"/>
      <c r="K26" s="30"/>
      <c r="L26" s="28"/>
      <c r="M26" s="83"/>
      <c r="N26" s="82"/>
      <c r="O26" s="82"/>
      <c r="P26" s="82"/>
      <c r="Q26" s="82"/>
      <c r="R26" s="73"/>
      <c r="S26" s="74"/>
      <c r="T26" s="75"/>
      <c r="W26" s="72"/>
    </row>
    <row r="27" spans="2:23" ht="18.95" customHeight="1" x14ac:dyDescent="0.25">
      <c r="I27" s="76"/>
      <c r="J27" s="78"/>
      <c r="K27" s="16"/>
      <c r="L27" s="42"/>
      <c r="M27" s="76"/>
      <c r="N27" s="80"/>
      <c r="O27" s="80"/>
      <c r="P27" s="80"/>
      <c r="Q27" s="80"/>
      <c r="R27" s="34"/>
      <c r="S27" s="26" t="str">
        <f>IF(K27 = "","","/")</f>
        <v/>
      </c>
      <c r="T27" s="27" t="str">
        <f>IF(K27 = "","",YEAR(K27))</f>
        <v/>
      </c>
      <c r="W27" s="71">
        <v>0</v>
      </c>
    </row>
    <row r="28" spans="2:23" ht="18.95" customHeight="1" x14ac:dyDescent="0.25">
      <c r="B28" s="56" t="s">
        <v>35</v>
      </c>
      <c r="I28" s="77"/>
      <c r="J28" s="79"/>
      <c r="K28" s="58"/>
      <c r="L28" s="57"/>
      <c r="M28" s="77"/>
      <c r="N28" s="81"/>
      <c r="O28" s="81"/>
      <c r="P28" s="81"/>
      <c r="Q28" s="81"/>
      <c r="R28" s="64"/>
      <c r="S28" s="65"/>
      <c r="T28" s="66"/>
      <c r="W28" s="72"/>
    </row>
    <row r="29" spans="2:23" ht="32.25" customHeight="1" x14ac:dyDescent="0.3">
      <c r="B29" s="51" t="e">
        <v>#NAME?</v>
      </c>
      <c r="L29" s="67" t="s">
        <v>36</v>
      </c>
      <c r="M29" s="68"/>
      <c r="N29" s="59">
        <f>SUM(N9:N28)</f>
        <v>20</v>
      </c>
      <c r="O29" s="59">
        <f>SUM(O9:O28)</f>
        <v>9</v>
      </c>
      <c r="P29" s="59">
        <f>SUM(P9:P28)</f>
        <v>0</v>
      </c>
      <c r="Q29" s="59">
        <f>SUM(Q9:Q28)</f>
        <v>0</v>
      </c>
    </row>
    <row r="30" spans="2:23" x14ac:dyDescent="0.25">
      <c r="N30" s="35"/>
      <c r="P30" s="35"/>
    </row>
    <row r="31" spans="2:23" ht="18.75" x14ac:dyDescent="0.3">
      <c r="B31" s="51"/>
      <c r="C31" s="61" t="s">
        <v>37</v>
      </c>
      <c r="D31" s="69"/>
      <c r="E31" s="69"/>
      <c r="F31" s="51"/>
      <c r="G31" s="62" t="s">
        <v>38</v>
      </c>
    </row>
    <row r="32" spans="2:23" ht="24" customHeight="1" x14ac:dyDescent="0.4">
      <c r="C32" s="70" t="s">
        <v>39</v>
      </c>
      <c r="D32" s="70"/>
      <c r="H32" s="60"/>
    </row>
    <row r="33" spans="5:10" x14ac:dyDescent="0.25">
      <c r="I33" s="60"/>
      <c r="J33" s="60"/>
    </row>
    <row r="36" spans="5:10" x14ac:dyDescent="0.25">
      <c r="E36" s="3"/>
    </row>
  </sheetData>
  <mergeCells count="106">
    <mergeCell ref="B3:G3"/>
    <mergeCell ref="F5:G5"/>
    <mergeCell ref="I6:I8"/>
    <mergeCell ref="J6:J8"/>
    <mergeCell ref="K6:K8"/>
    <mergeCell ref="L6:L8"/>
    <mergeCell ref="B6:D7"/>
    <mergeCell ref="O11:O12"/>
    <mergeCell ref="N11:N12"/>
    <mergeCell ref="M11:M12"/>
    <mergeCell ref="J11:J12"/>
    <mergeCell ref="I11:I12"/>
    <mergeCell ref="C11:E11"/>
    <mergeCell ref="M6:M8"/>
    <mergeCell ref="N6:Q6"/>
    <mergeCell ref="R6:T8"/>
    <mergeCell ref="N7:O7"/>
    <mergeCell ref="P7:Q7"/>
    <mergeCell ref="I9:I10"/>
    <mergeCell ref="J9:J10"/>
    <mergeCell ref="M9:M10"/>
    <mergeCell ref="N9:N10"/>
    <mergeCell ref="O9:O10"/>
    <mergeCell ref="P9:P10"/>
    <mergeCell ref="Q9:Q10"/>
    <mergeCell ref="W9:W10"/>
    <mergeCell ref="R10:T10"/>
    <mergeCell ref="W13:W14"/>
    <mergeCell ref="C14:E14"/>
    <mergeCell ref="R14:T14"/>
    <mergeCell ref="P11:P12"/>
    <mergeCell ref="Q11:Q12"/>
    <mergeCell ref="W11:W12"/>
    <mergeCell ref="C12:E13"/>
    <mergeCell ref="G12:G13"/>
    <mergeCell ref="R12:T12"/>
    <mergeCell ref="I13:I14"/>
    <mergeCell ref="J13:J14"/>
    <mergeCell ref="M13:M14"/>
    <mergeCell ref="N13:N14"/>
    <mergeCell ref="C15:E15"/>
    <mergeCell ref="I15:I16"/>
    <mergeCell ref="J15:J16"/>
    <mergeCell ref="M15:M16"/>
    <mergeCell ref="N15:N16"/>
    <mergeCell ref="O15:O16"/>
    <mergeCell ref="O13:O14"/>
    <mergeCell ref="P13:P14"/>
    <mergeCell ref="Q13:Q14"/>
    <mergeCell ref="P15:P16"/>
    <mergeCell ref="Q15:Q16"/>
    <mergeCell ref="W15:W16"/>
    <mergeCell ref="R16:T16"/>
    <mergeCell ref="I17:I18"/>
    <mergeCell ref="J17:J18"/>
    <mergeCell ref="M17:M18"/>
    <mergeCell ref="N17:N18"/>
    <mergeCell ref="O17:O18"/>
    <mergeCell ref="P17:P18"/>
    <mergeCell ref="M21:M22"/>
    <mergeCell ref="N21:N22"/>
    <mergeCell ref="O21:O22"/>
    <mergeCell ref="P21:P22"/>
    <mergeCell ref="Q21:Q22"/>
    <mergeCell ref="W21:W22"/>
    <mergeCell ref="R22:T22"/>
    <mergeCell ref="Q17:Q18"/>
    <mergeCell ref="W17:W18"/>
    <mergeCell ref="R18:T18"/>
    <mergeCell ref="M19:M20"/>
    <mergeCell ref="N19:N20"/>
    <mergeCell ref="O19:O20"/>
    <mergeCell ref="P19:P20"/>
    <mergeCell ref="Q19:Q20"/>
    <mergeCell ref="W19:W20"/>
    <mergeCell ref="R20:T20"/>
    <mergeCell ref="Q23:Q24"/>
    <mergeCell ref="W23:W24"/>
    <mergeCell ref="R24:T24"/>
    <mergeCell ref="I25:I26"/>
    <mergeCell ref="J25:J26"/>
    <mergeCell ref="M25:M26"/>
    <mergeCell ref="N25:N26"/>
    <mergeCell ref="O25:O26"/>
    <mergeCell ref="P25:P26"/>
    <mergeCell ref="Q25:Q26"/>
    <mergeCell ref="I23:I24"/>
    <mergeCell ref="J23:J24"/>
    <mergeCell ref="M23:M24"/>
    <mergeCell ref="N23:N24"/>
    <mergeCell ref="O23:O24"/>
    <mergeCell ref="P23:P24"/>
    <mergeCell ref="R28:T28"/>
    <mergeCell ref="L29:M29"/>
    <mergeCell ref="D31:E31"/>
    <mergeCell ref="C32:D32"/>
    <mergeCell ref="W25:W26"/>
    <mergeCell ref="R26:T26"/>
    <mergeCell ref="I27:I28"/>
    <mergeCell ref="J27:J28"/>
    <mergeCell ref="M27:M28"/>
    <mergeCell ref="N27:N28"/>
    <mergeCell ref="O27:O28"/>
    <mergeCell ref="P27:P28"/>
    <mergeCell ref="Q27:Q28"/>
    <mergeCell ref="W27:W28"/>
  </mergeCells>
  <printOptions horizontalCentered="1"/>
  <pageMargins left="0.11811023622047245" right="0.11811023622047245" top="0.35433070866141736" bottom="0.55118110236220474" header="0.31496062992125984" footer="0.31496062992125984"/>
  <pageSetup paperSize="123" scale="80" orientation="portrait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عبد الحاكم علي</vt:lpstr>
      <vt:lpstr>'عبد الحاكم علي'!Zone_d_impression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budget</dc:creator>
  <cp:lastModifiedBy>mosbah mourad</cp:lastModifiedBy>
  <dcterms:created xsi:type="dcterms:W3CDTF">2026-09-13T10:48:39Z</dcterms:created>
  <dcterms:modified xsi:type="dcterms:W3CDTF">2026-09-15T18:08:00Z</dcterms:modified>
</cp:coreProperties>
</file>